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d.docs.live.net/fc6206cd76c8efb5/Documents/SCHOOL_TECH/1-Current Courses/Capstone I/1. Git Repo/S26_Team6_LaniEV-RetroFit/2. Documentation/0. Project Details/"/>
    </mc:Choice>
  </mc:AlternateContent>
  <xr:revisionPtr revIDLastSave="50" documentId="8_{09987254-AD0E-4C28-A73A-9075852F49BD}" xr6:coauthVersionLast="47" xr6:coauthVersionMax="47" xr10:uidLastSave="{1402EFFE-03D3-46A1-9365-CC7FB34A3BAE}"/>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1" l="1"/>
  <c r="C11" i="11"/>
  <c r="C10" i="11"/>
  <c r="C9" i="11"/>
  <c r="C8" i="11"/>
  <c r="G12" i="11"/>
  <c r="D8" i="11"/>
  <c r="G7" i="11"/>
  <c r="G8" i="11" l="1"/>
  <c r="H5" i="11" l="1"/>
  <c r="G14" i="11"/>
  <c r="G13" i="11"/>
  <c r="G10" i="11" l="1"/>
  <c r="H6" i="11"/>
  <c r="G11" i="11" l="1"/>
  <c r="G9" i="11"/>
  <c r="I5" i="11"/>
  <c r="J5" i="11" s="1"/>
  <c r="K5" i="11" s="1"/>
  <c r="L5" i="11" s="1"/>
  <c r="M5" i="11" s="1"/>
  <c r="N5" i="11" s="1"/>
  <c r="O5" i="11" s="1"/>
  <c r="H4" i="11"/>
  <c r="O4" i="11" l="1"/>
  <c r="P5" i="11"/>
  <c r="Q5" i="11" s="1"/>
  <c r="R5" i="11" s="1"/>
  <c r="S5" i="11" s="1"/>
  <c r="T5" i="11" s="1"/>
  <c r="U5" i="11" s="1"/>
  <c r="V5" i="11" s="1"/>
  <c r="I6" i="11"/>
  <c r="V4" i="11" l="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L5" i="11" s="1"/>
  <c r="BJ6" i="11"/>
  <c r="AE6" i="11"/>
  <c r="BL4" i="11" l="1"/>
  <c r="BL6" i="11"/>
  <c r="BM5" i="11"/>
  <c r="BK6" i="11"/>
  <c r="AF6" i="11"/>
  <c r="BN5" i="11" l="1"/>
  <c r="BM6" i="11"/>
  <c r="AG6" i="11"/>
  <c r="BN6" i="11" l="1"/>
  <c r="BO5" i="11"/>
  <c r="AH6" i="11"/>
  <c r="BO6" i="11" l="1"/>
  <c r="BP5" i="11"/>
  <c r="AI6" i="11"/>
  <c r="BP6" i="11" l="1"/>
  <c r="BQ5" i="11"/>
  <c r="AJ6" i="11"/>
  <c r="BQ6" i="11" l="1"/>
  <c r="BR5" i="11"/>
  <c r="AK6" i="11"/>
  <c r="BR6" i="11" l="1"/>
  <c r="BS5" i="11"/>
  <c r="AL6" i="11"/>
  <c r="BS4" i="11" l="1"/>
  <c r="BS6" i="11"/>
  <c r="BT5" i="11"/>
  <c r="AM6" i="11"/>
  <c r="BT6" i="11" l="1"/>
  <c r="BU5" i="11"/>
  <c r="AN6" i="11"/>
  <c r="BU6" i="11" l="1"/>
  <c r="BV5" i="11"/>
  <c r="AO6" i="11"/>
  <c r="BV6" i="11" l="1"/>
  <c r="BW5" i="11"/>
  <c r="AP6" i="11"/>
  <c r="BW6" i="11" l="1"/>
  <c r="BX5" i="11"/>
  <c r="AQ6" i="11"/>
  <c r="BX6" i="11" l="1"/>
  <c r="BY5" i="11"/>
  <c r="BY6" i="11" l="1"/>
  <c r="BZ5" i="11"/>
  <c r="BZ4" i="11" l="1"/>
  <c r="BZ6" i="11"/>
  <c r="CA5" i="11"/>
  <c r="CB5" i="11" l="1"/>
  <c r="CA6" i="11"/>
  <c r="CC5" i="11" l="1"/>
  <c r="CB6" i="11"/>
  <c r="CC6" i="11" l="1"/>
  <c r="CD5" i="11"/>
  <c r="CD6" i="11" l="1"/>
  <c r="CE5" i="11"/>
  <c r="CF5" i="11" l="1"/>
  <c r="CE6" i="11"/>
  <c r="CF6" i="11" l="1"/>
  <c r="CG5" i="11"/>
  <c r="CG6" i="11" l="1"/>
  <c r="CG4" i="11"/>
  <c r="CH5" i="11"/>
  <c r="CI5" i="11" l="1"/>
  <c r="CH6" i="11"/>
  <c r="CI6" i="11" l="1"/>
  <c r="CJ5" i="11"/>
  <c r="CJ6" i="11" l="1"/>
  <c r="CK5" i="11"/>
  <c r="CK6" i="11" l="1"/>
  <c r="CL5" i="11"/>
  <c r="CL6" i="11" l="1"/>
  <c r="CM5" i="11"/>
  <c r="CM6" i="11" l="1"/>
  <c r="CN5" i="11"/>
  <c r="CN6" i="11" l="1"/>
  <c r="CO5" i="11"/>
  <c r="CN4" i="11"/>
  <c r="CO6" i="11" l="1"/>
  <c r="CP5" i="11"/>
  <c r="CP6" i="11" l="1"/>
  <c r="CQ5" i="11"/>
  <c r="CQ6" i="11" l="1"/>
  <c r="CR5" i="11"/>
  <c r="CR6" i="11" l="1"/>
  <c r="CS5" i="11"/>
  <c r="CT5" i="11" l="1"/>
  <c r="CS6" i="11"/>
  <c r="CT6" i="11" l="1"/>
  <c r="CU5" i="11"/>
  <c r="CU6" i="11" l="1"/>
  <c r="CV5" i="11"/>
  <c r="CU4" i="11"/>
  <c r="CV6" i="11" l="1"/>
  <c r="CW5" i="11"/>
  <c r="CX5" i="11" l="1"/>
  <c r="CW6" i="11"/>
  <c r="CY5" i="11" l="1"/>
  <c r="CX6" i="11"/>
  <c r="CZ5" i="11" l="1"/>
  <c r="CY6" i="11"/>
  <c r="DA5" i="11" l="1"/>
  <c r="CZ6" i="11"/>
  <c r="DA6" i="11" l="1"/>
  <c r="DB5" i="11"/>
  <c r="DB4" i="11" l="1"/>
  <c r="DB6" i="11"/>
  <c r="DC5" i="11"/>
  <c r="DC6" i="11" l="1"/>
  <c r="DD5" i="11"/>
  <c r="DD6" i="11" l="1"/>
  <c r="DE5" i="11"/>
  <c r="DE6" i="11" l="1"/>
  <c r="DF5" i="11"/>
  <c r="DF6" i="11" l="1"/>
  <c r="DG5" i="11"/>
  <c r="DG6" i="11" l="1"/>
  <c r="DH5" i="11"/>
  <c r="DH6" i="11" l="1"/>
  <c r="DI5" i="11"/>
  <c r="DI6" i="11" l="1"/>
  <c r="DI4" i="11"/>
  <c r="DJ5" i="11"/>
  <c r="DK5" i="11" l="1"/>
  <c r="DJ6" i="11"/>
  <c r="DK6" i="11" l="1"/>
  <c r="DL5" i="11"/>
  <c r="DM5" i="11" l="1"/>
  <c r="DL6" i="11"/>
  <c r="DM6" i="11" l="1"/>
  <c r="DN5" i="11"/>
  <c r="DO5" i="11" l="1"/>
  <c r="DO6" i="11" s="1"/>
  <c r="DN6" i="11"/>
</calcChain>
</file>

<file path=xl/sharedStrings.xml><?xml version="1.0" encoding="utf-8"?>
<sst xmlns="http://schemas.openxmlformats.org/spreadsheetml/2006/main" count="30" uniqueCount="30">
  <si>
    <t>Insert new rows ABOVE this one</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</si>
  <si>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</si>
  <si>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</si>
  <si>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</si>
  <si>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</si>
  <si>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</si>
  <si>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</si>
  <si>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</si>
  <si>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</si>
  <si>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</si>
  <si>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</si>
  <si>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</si>
  <si>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</si>
  <si>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</si>
  <si>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</si>
  <si>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</si>
  <si>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</si>
  <si>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</si>
  <si>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</si>
  <si>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</si>
  <si>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Project start:</t>
  </si>
  <si>
    <t>Display week:</t>
  </si>
  <si>
    <t>Proposal Timeline</t>
  </si>
  <si>
    <t>Alec Snodgrass</t>
  </si>
  <si>
    <t>Team Contract</t>
  </si>
  <si>
    <t>Project Proposal</t>
  </si>
  <si>
    <t>Conceptual Design</t>
  </si>
  <si>
    <t>Detailed Design</t>
  </si>
  <si>
    <t>Design Presentation</t>
  </si>
  <si>
    <t>DURATION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</si>
</sst>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3" tint="0.89999084444715716"/>
        <bgColor indexed="64"/>
      </patternFill>
    </fill>
    <fill>
      <patternFill patternType="solid">
        <fgColor theme="0"/>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theme="1" tint="0.499984740745262"/>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theme="1" tint="0.499984740745262"/>
      </left>
      <right style="thin">
        <color indexed="64"/>
      </right>
      <top style="thin">
        <color theme="1" tint="0.499984740745262"/>
      </top>
      <bottom/>
      <diagonal/>
    </border>
    <border>
      <left/>
      <right style="thin">
        <color indexed="64"/>
      </right>
      <top/>
      <bottom/>
      <diagonal/>
    </border>
    <border>
      <left style="thin">
        <color theme="1" tint="0.499984740745262"/>
      </left>
      <right style="thin">
        <color indexed="64"/>
      </right>
      <top style="thin">
        <color theme="1" tint="0.499984740745262"/>
      </top>
      <bottom style="thin">
        <color theme="1" tint="0.499984740745262"/>
      </bottom>
      <diagonal/>
    </border>
    <border>
      <left style="thin">
        <color theme="0" tint="-4.9989318521683403E-2"/>
      </left>
      <right style="thin">
        <color indexed="64"/>
      </right>
      <top style="thin">
        <color theme="0" tint="-4.9989318521683403E-2"/>
      </top>
      <bottom style="thin">
        <color theme="0" tint="-4.9989318521683403E-2"/>
      </bottom>
      <diagonal/>
    </border>
  </borders>
  <cellStyleXfs count="12">
    <xf numFmtId="0" fontId="0" fillId="0" borderId="0"/>
    <xf numFmtId="0" fontId="2" fillId="0" borderId="0" applyNumberFormat="0" applyFill="0" applyBorder="0" applyAlignment="0" applyProtection="0">
      <alignment vertical="top"/>
      <protection locked="0"/>
    </xf>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8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2"/>
    <xf numFmtId="0" fontId="11" fillId="0" borderId="0" xfId="2"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4" fillId="0" borderId="0" xfId="0" applyFont="1"/>
    <xf numFmtId="0" fontId="4" fillId="0" borderId="0" xfId="0" applyFont="1" applyAlignment="1">
      <alignment horizontal="center"/>
    </xf>
    <xf numFmtId="167" fontId="16" fillId="8" borderId="16" xfId="0" applyNumberFormat="1" applyFont="1" applyFill="1" applyBorder="1" applyAlignment="1">
      <alignment horizontal="center" vertical="center"/>
    </xf>
    <xf numFmtId="167" fontId="16" fillId="8" borderId="14" xfId="0" applyNumberFormat="1" applyFont="1" applyFill="1" applyBorder="1" applyAlignment="1">
      <alignment horizontal="center" vertical="center"/>
    </xf>
    <xf numFmtId="167" fontId="16" fillId="8" borderId="15" xfId="0" applyNumberFormat="1" applyFont="1" applyFill="1" applyBorder="1" applyAlignment="1">
      <alignment horizontal="center" vertical="center"/>
    </xf>
    <xf numFmtId="0" fontId="17" fillId="2" borderId="13" xfId="0" applyFont="1" applyFill="1" applyBorder="1" applyAlignment="1">
      <alignment horizontal="center" vertical="center" shrinkToFit="1"/>
    </xf>
    <xf numFmtId="0" fontId="17" fillId="2" borderId="11" xfId="0" applyFont="1" applyFill="1" applyBorder="1" applyAlignment="1">
      <alignment horizontal="center" vertical="center" shrinkToFit="1"/>
    </xf>
    <xf numFmtId="0" fontId="14" fillId="0" borderId="0" xfId="0" applyFont="1"/>
    <xf numFmtId="0" fontId="4" fillId="0" borderId="3" xfId="0" applyFont="1" applyBorder="1" applyAlignment="1">
      <alignment vertical="center"/>
    </xf>
    <xf numFmtId="0" fontId="4" fillId="0" borderId="9" xfId="0" applyFont="1" applyBorder="1" applyAlignment="1">
      <alignment vertical="center"/>
    </xf>
    <xf numFmtId="0" fontId="4" fillId="0" borderId="0" xfId="0" applyFont="1" applyAlignment="1">
      <alignment vertical="center"/>
    </xf>
    <xf numFmtId="0" fontId="14" fillId="3" borderId="6" xfId="11" applyFont="1" applyFill="1" applyBorder="1">
      <alignment horizontal="left" vertical="center" indent="2"/>
    </xf>
    <xf numFmtId="164" fontId="14" fillId="3" borderId="6" xfId="9" applyFont="1" applyFill="1" applyBorder="1">
      <alignment horizontal="center" vertical="center"/>
    </xf>
    <xf numFmtId="0" fontId="4" fillId="0" borderId="4" xfId="0" applyFont="1" applyBorder="1" applyAlignment="1">
      <alignment vertical="center"/>
    </xf>
    <xf numFmtId="0" fontId="14" fillId="4" borderId="5" xfId="11" applyFont="1" applyFill="1" applyBorder="1">
      <alignment horizontal="left" vertical="center" indent="2"/>
    </xf>
    <xf numFmtId="164" fontId="14" fillId="4" borderId="5" xfId="9" applyFont="1" applyFill="1" applyBorder="1">
      <alignment horizontal="center" vertical="center"/>
    </xf>
    <xf numFmtId="0" fontId="14" fillId="5" borderId="7" xfId="11" applyFont="1" applyFill="1" applyBorder="1">
      <alignment horizontal="left" vertical="center" indent="2"/>
    </xf>
    <xf numFmtId="164" fontId="14" fillId="5" borderId="7" xfId="9" applyFont="1" applyFill="1" applyBorder="1">
      <alignment horizontal="center" vertical="center"/>
    </xf>
    <xf numFmtId="0" fontId="14" fillId="6" borderId="8" xfId="11" applyFont="1" applyFill="1" applyBorder="1">
      <alignment horizontal="left" vertical="center" indent="2"/>
    </xf>
    <xf numFmtId="164" fontId="14" fillId="6" borderId="8" xfId="9" applyFont="1" applyFill="1" applyBorder="1">
      <alignment horizontal="center" vertical="center"/>
    </xf>
    <xf numFmtId="0" fontId="14" fillId="0" borderId="0" xfId="11" applyFont="1" applyBorder="1">
      <alignment horizontal="left" vertical="center" indent="2"/>
    </xf>
    <xf numFmtId="164" fontId="14" fillId="0" borderId="0" xfId="9" applyFont="1" applyBorder="1">
      <alignment horizontal="center" vertical="center"/>
    </xf>
    <xf numFmtId="0" fontId="18" fillId="2" borderId="0" xfId="0" applyFont="1" applyFill="1" applyAlignment="1">
      <alignment horizontal="left" vertical="center" indent="1"/>
    </xf>
    <xf numFmtId="164" fontId="19"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7" fillId="0" borderId="0" xfId="0" applyFont="1" applyAlignment="1">
      <alignment horizontal="left" vertical="center" indent="1"/>
    </xf>
    <xf numFmtId="0" fontId="3" fillId="0" borderId="0" xfId="0" applyFont="1" applyAlignment="1">
      <alignment horizontal="left" vertical="top" indent="1"/>
    </xf>
    <xf numFmtId="0" fontId="20" fillId="0" borderId="0" xfId="0" applyFont="1" applyAlignment="1">
      <alignment horizontal="left" vertical="center" indent="1"/>
    </xf>
    <xf numFmtId="0" fontId="24" fillId="0" borderId="0" xfId="0" applyFont="1" applyAlignment="1">
      <alignment horizontal="left" vertical="top" wrapText="1" indent="1"/>
    </xf>
    <xf numFmtId="0" fontId="0" fillId="0" borderId="0" xfId="0" applyAlignment="1">
      <alignment horizontal="left" vertical="top" wrapText="1" indent="1"/>
    </xf>
    <xf numFmtId="0" fontId="25" fillId="0" borderId="0" xfId="1" applyFont="1" applyAlignment="1" applyProtection="1">
      <alignment horizontal="left" vertical="top" indent="1"/>
    </xf>
    <xf numFmtId="0" fontId="1" fillId="0" borderId="0" xfId="0" applyFont="1" applyAlignment="1">
      <alignment horizontal="left" vertical="top" indent="1"/>
    </xf>
    <xf numFmtId="0" fontId="20" fillId="0" borderId="0" xfId="5" applyFont="1" applyAlignment="1">
      <alignment horizontal="left" vertical="center"/>
    </xf>
    <xf numFmtId="167" fontId="16" fillId="8" borderId="19" xfId="0" applyNumberFormat="1" applyFont="1" applyFill="1" applyBorder="1" applyAlignment="1">
      <alignment horizontal="center" vertical="center"/>
    </xf>
    <xf numFmtId="0" fontId="17" fillId="2" borderId="20" xfId="0" applyFont="1" applyFill="1" applyBorder="1" applyAlignment="1">
      <alignment horizontal="center" vertical="center" shrinkToFit="1"/>
    </xf>
    <xf numFmtId="0" fontId="4" fillId="0" borderId="21" xfId="0" applyFont="1" applyBorder="1"/>
    <xf numFmtId="0" fontId="4" fillId="0" borderId="23" xfId="0" applyFont="1" applyBorder="1" applyAlignment="1">
      <alignment vertical="center"/>
    </xf>
    <xf numFmtId="0" fontId="20" fillId="0" borderId="0" xfId="6" applyFont="1" applyAlignment="1">
      <alignment horizontal="left" vertical="center"/>
    </xf>
    <xf numFmtId="0" fontId="14" fillId="9" borderId="6" xfId="11" applyFont="1" applyFill="1" applyBorder="1">
      <alignment horizontal="left" vertical="center" indent="2"/>
    </xf>
    <xf numFmtId="164" fontId="14" fillId="9" borderId="6" xfId="9" applyFont="1" applyFill="1" applyBorder="1">
      <alignment horizontal="center" vertical="center"/>
    </xf>
    <xf numFmtId="0" fontId="14" fillId="0" borderId="0" xfId="0" applyFont="1" applyAlignment="1">
      <alignment horizontal="center"/>
    </xf>
    <xf numFmtId="0" fontId="14" fillId="3" borderId="6" xfId="11" applyFont="1" applyFill="1" applyBorder="1" applyAlignment="1">
      <alignment horizontal="center" vertical="center"/>
    </xf>
    <xf numFmtId="0" fontId="14" fillId="4" borderId="5" xfId="11" applyFont="1" applyFill="1" applyBorder="1" applyAlignment="1">
      <alignment horizontal="center" vertical="center"/>
    </xf>
    <xf numFmtId="0" fontId="14" fillId="5" borderId="7" xfId="11" applyFont="1" applyFill="1" applyBorder="1" applyAlignment="1">
      <alignment horizontal="center" vertical="center"/>
    </xf>
    <xf numFmtId="0" fontId="14" fillId="6" borderId="8" xfId="11" applyFont="1" applyFill="1" applyBorder="1" applyAlignment="1">
      <alignment horizontal="center" vertical="center"/>
    </xf>
    <xf numFmtId="0" fontId="14" fillId="9" borderId="6" xfId="11" applyFont="1" applyFill="1" applyBorder="1" applyAlignment="1">
      <alignment horizontal="center" vertical="center"/>
    </xf>
    <xf numFmtId="0" fontId="1" fillId="10" borderId="0" xfId="1" applyFont="1" applyFill="1" applyAlignment="1" applyProtection="1">
      <alignment horizontal="left" vertical="top" indent="1"/>
    </xf>
    <xf numFmtId="0" fontId="4" fillId="10" borderId="0" xfId="0" applyFont="1" applyFill="1" applyAlignment="1">
      <alignment horizontal="left" indent="1"/>
    </xf>
    <xf numFmtId="0" fontId="4" fillId="10" borderId="0" xfId="0" applyFont="1" applyFill="1"/>
    <xf numFmtId="0" fontId="11" fillId="0" borderId="0" xfId="2" applyAlignment="1">
      <alignment wrapText="1"/>
    </xf>
    <xf numFmtId="0" fontId="15" fillId="7" borderId="12" xfId="0" applyFont="1" applyFill="1" applyBorder="1" applyAlignment="1">
      <alignment horizontal="left" vertical="center" indent="1"/>
    </xf>
    <xf numFmtId="0" fontId="4" fillId="2" borderId="17" xfId="0" applyFont="1" applyFill="1" applyBorder="1" applyAlignment="1">
      <alignment horizontal="left" indent="1"/>
    </xf>
    <xf numFmtId="0" fontId="15" fillId="7" borderId="12" xfId="0" applyFont="1" applyFill="1" applyBorder="1" applyAlignment="1">
      <alignment horizontal="center" vertical="center"/>
    </xf>
    <xf numFmtId="0" fontId="4" fillId="2" borderId="17" xfId="0" applyFont="1" applyFill="1" applyBorder="1" applyAlignment="1">
      <alignment horizontal="center"/>
    </xf>
    <xf numFmtId="0" fontId="4" fillId="2" borderId="17" xfId="0" applyFont="1" applyFill="1" applyBorder="1"/>
    <xf numFmtId="0" fontId="21" fillId="0" borderId="0" xfId="0" applyFont="1" applyAlignment="1">
      <alignment horizontal="left"/>
    </xf>
    <xf numFmtId="0" fontId="22" fillId="0" borderId="0" xfId="0" applyFont="1"/>
    <xf numFmtId="165" fontId="21" fillId="0" borderId="0" xfId="8" applyFont="1" applyBorder="1" applyAlignment="1">
      <alignment horizontal="left"/>
    </xf>
    <xf numFmtId="0" fontId="20" fillId="0" borderId="0" xfId="7" applyFont="1" applyAlignment="1">
      <alignment horizontal="left"/>
    </xf>
    <xf numFmtId="0" fontId="4" fillId="0" borderId="0" xfId="0" applyFont="1"/>
    <xf numFmtId="0" fontId="23" fillId="0" borderId="0" xfId="4" applyFont="1" applyAlignment="1">
      <alignment horizontal="left"/>
    </xf>
    <xf numFmtId="166" fontId="14" fillId="2" borderId="10" xfId="0" applyNumberFormat="1" applyFont="1" applyFill="1" applyBorder="1" applyAlignment="1">
      <alignment horizontal="center" vertical="center" wrapText="1"/>
    </xf>
    <xf numFmtId="166" fontId="14" fillId="2" borderId="15" xfId="0" applyNumberFormat="1" applyFont="1" applyFill="1" applyBorder="1" applyAlignment="1">
      <alignment horizontal="center" vertical="center" wrapText="1"/>
    </xf>
    <xf numFmtId="166" fontId="14" fillId="2" borderId="14" xfId="0" applyNumberFormat="1" applyFont="1" applyFill="1" applyBorder="1" applyAlignment="1">
      <alignment horizontal="center" vertical="center" wrapText="1"/>
    </xf>
    <xf numFmtId="166" fontId="14" fillId="2" borderId="22" xfId="0" applyNumberFormat="1" applyFont="1" applyFill="1" applyBorder="1" applyAlignment="1">
      <alignment horizontal="center" vertical="center" wrapText="1"/>
    </xf>
    <xf numFmtId="166" fontId="14" fillId="2" borderId="18" xfId="0" applyNumberFormat="1" applyFont="1" applyFill="1" applyBorder="1" applyAlignment="1">
      <alignment horizontal="center" vertical="center" wrapText="1"/>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20">
    <dxf>
      <fill>
        <patternFill>
          <bgColor theme="3" tint="0.499984740745262"/>
        </patternFill>
      </fill>
      <border>
        <left/>
        <right/>
        <top style="thin">
          <color theme="0" tint="-4.9989318521683403E-2"/>
        </top>
        <bottom style="thin">
          <color theme="0" tint="-4.9989318521683403E-2"/>
        </bottom>
      </border>
    </dxf>
    <dxf>
      <fill>
        <patternFill>
          <bgColor theme="3" tint="0.89996032593768116"/>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9"/>
      <tableStyleElement type="headerRow" dxfId="18"/>
      <tableStyleElement type="totalRow" dxfId="17"/>
      <tableStyleElement type="firstColumn" dxfId="16"/>
      <tableStyleElement type="lastColumn" dxfId="15"/>
      <tableStyleElement type="firstRowStripe" dxfId="14"/>
      <tableStyleElement type="secondRowStripe" dxfId="13"/>
      <tableStyleElement type="firstColumnStripe" dxfId="12"/>
      <tableStyleElement type="secondColumnStripe"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O16"/>
  <sheetViews>
    <sheetView showGridLines="0" tabSelected="1" showRuler="0" topLeftCell="I1" zoomScale="97" zoomScaleNormal="70" zoomScalePageLayoutView="70" workbookViewId="0">
      <selection activeCell="E17" sqref="E17"/>
    </sheetView>
  </sheetViews>
  <sheetFormatPr defaultColWidth="8.69921875" defaultRowHeight="30" customHeight="1" x14ac:dyDescent="0.25"/>
  <cols>
    <col min="1" max="1" width="2.69921875" style="12" customWidth="1"/>
    <col min="2" max="2" width="20.69921875" customWidth="1"/>
    <col min="3" max="3" width="15.69921875" customWidth="1"/>
    <col min="4" max="4" width="15.69921875" style="2" customWidth="1"/>
    <col min="5" max="5" width="15.69921875" customWidth="1"/>
    <col min="6" max="6" width="2.69921875" customWidth="1"/>
    <col min="7" max="7" width="6" hidden="1" customWidth="1"/>
    <col min="8" max="173" width="2.69921875" customWidth="1"/>
  </cols>
  <sheetData>
    <row r="1" spans="1:119" ht="90" customHeight="1" x14ac:dyDescent="1.45">
      <c r="A1" s="13"/>
      <c r="B1" s="80" t="s">
        <v>22</v>
      </c>
      <c r="C1" s="80"/>
      <c r="D1" s="80"/>
      <c r="E1" s="80"/>
      <c r="G1" s="1"/>
      <c r="H1" s="78" t="s">
        <v>20</v>
      </c>
      <c r="I1" s="79"/>
      <c r="J1" s="79"/>
      <c r="K1" s="79"/>
      <c r="L1" s="79"/>
      <c r="M1" s="79"/>
      <c r="N1" s="79"/>
      <c r="O1" s="18"/>
      <c r="P1" s="77">
        <v>46050</v>
      </c>
      <c r="Q1" s="76"/>
      <c r="R1" s="76"/>
      <c r="S1" s="76"/>
      <c r="T1" s="76"/>
      <c r="U1" s="76"/>
      <c r="V1" s="76"/>
      <c r="W1" s="76"/>
      <c r="X1" s="76"/>
      <c r="Y1" s="76"/>
    </row>
    <row r="2" spans="1:119" ht="30" customHeight="1" x14ac:dyDescent="0.6">
      <c r="B2" s="52" t="s">
        <v>23</v>
      </c>
      <c r="C2" s="52"/>
      <c r="D2" s="17"/>
      <c r="E2" s="16"/>
      <c r="H2" s="78" t="s">
        <v>21</v>
      </c>
      <c r="I2" s="79"/>
      <c r="J2" s="79"/>
      <c r="K2" s="79"/>
      <c r="L2" s="79"/>
      <c r="M2" s="79"/>
      <c r="N2" s="79"/>
      <c r="O2" s="18"/>
      <c r="P2" s="75">
        <v>1</v>
      </c>
      <c r="Q2" s="76"/>
      <c r="R2" s="76"/>
      <c r="S2" s="76"/>
      <c r="T2" s="76"/>
      <c r="U2" s="76"/>
      <c r="V2" s="76"/>
      <c r="W2" s="76"/>
      <c r="X2" s="76"/>
      <c r="Y2" s="76"/>
    </row>
    <row r="3" spans="1:119" s="19" customFormat="1" ht="30" customHeight="1" x14ac:dyDescent="0.25">
      <c r="A3" s="12"/>
      <c r="B3" s="57" t="s">
        <v>19</v>
      </c>
      <c r="C3" s="57"/>
      <c r="D3" s="20"/>
    </row>
    <row r="4" spans="1:119" s="19" customFormat="1" ht="30" customHeight="1" x14ac:dyDescent="0.25">
      <c r="A4" s="13"/>
      <c r="B4" s="66"/>
      <c r="C4" s="66"/>
      <c r="D4" s="67"/>
      <c r="E4" s="68"/>
      <c r="F4" s="68"/>
      <c r="H4" s="83">
        <f>H5</f>
        <v>46048</v>
      </c>
      <c r="I4" s="81"/>
      <c r="J4" s="81"/>
      <c r="K4" s="81"/>
      <c r="L4" s="81"/>
      <c r="M4" s="81"/>
      <c r="N4" s="81"/>
      <c r="O4" s="81">
        <f>O5</f>
        <v>46055</v>
      </c>
      <c r="P4" s="81"/>
      <c r="Q4" s="81"/>
      <c r="R4" s="81"/>
      <c r="S4" s="81"/>
      <c r="T4" s="81"/>
      <c r="U4" s="81"/>
      <c r="V4" s="81">
        <f>V5</f>
        <v>46062</v>
      </c>
      <c r="W4" s="81"/>
      <c r="X4" s="81"/>
      <c r="Y4" s="81"/>
      <c r="Z4" s="81"/>
      <c r="AA4" s="81"/>
      <c r="AB4" s="81"/>
      <c r="AC4" s="81">
        <f>AC5</f>
        <v>46069</v>
      </c>
      <c r="AD4" s="81"/>
      <c r="AE4" s="81"/>
      <c r="AF4" s="81"/>
      <c r="AG4" s="81"/>
      <c r="AH4" s="81"/>
      <c r="AI4" s="81"/>
      <c r="AJ4" s="81">
        <f>AJ5</f>
        <v>46076</v>
      </c>
      <c r="AK4" s="81"/>
      <c r="AL4" s="81"/>
      <c r="AM4" s="81"/>
      <c r="AN4" s="81"/>
      <c r="AO4" s="81"/>
      <c r="AP4" s="81"/>
      <c r="AQ4" s="81">
        <f>AQ5</f>
        <v>46083</v>
      </c>
      <c r="AR4" s="81"/>
      <c r="AS4" s="81"/>
      <c r="AT4" s="81"/>
      <c r="AU4" s="81"/>
      <c r="AV4" s="81"/>
      <c r="AW4" s="81"/>
      <c r="AX4" s="81">
        <f>AX5</f>
        <v>46090</v>
      </c>
      <c r="AY4" s="81"/>
      <c r="AZ4" s="81"/>
      <c r="BA4" s="81"/>
      <c r="BB4" s="81"/>
      <c r="BC4" s="81"/>
      <c r="BD4" s="81"/>
      <c r="BE4" s="81">
        <f>BE5</f>
        <v>46097</v>
      </c>
      <c r="BF4" s="81"/>
      <c r="BG4" s="81"/>
      <c r="BH4" s="81"/>
      <c r="BI4" s="81"/>
      <c r="BJ4" s="81"/>
      <c r="BK4" s="82"/>
      <c r="BL4" s="85">
        <f>BL5</f>
        <v>46104</v>
      </c>
      <c r="BM4" s="81"/>
      <c r="BN4" s="81"/>
      <c r="BO4" s="81"/>
      <c r="BP4" s="81"/>
      <c r="BQ4" s="81"/>
      <c r="BR4" s="81"/>
      <c r="BS4" s="81">
        <f>BS5</f>
        <v>46111</v>
      </c>
      <c r="BT4" s="81"/>
      <c r="BU4" s="81"/>
      <c r="BV4" s="81"/>
      <c r="BW4" s="81"/>
      <c r="BX4" s="81"/>
      <c r="BY4" s="81"/>
      <c r="BZ4" s="81">
        <f>BZ5</f>
        <v>46118</v>
      </c>
      <c r="CA4" s="81"/>
      <c r="CB4" s="81"/>
      <c r="CC4" s="81"/>
      <c r="CD4" s="81"/>
      <c r="CE4" s="81"/>
      <c r="CF4" s="81"/>
      <c r="CG4" s="81">
        <f>CG5</f>
        <v>46125</v>
      </c>
      <c r="CH4" s="81"/>
      <c r="CI4" s="81"/>
      <c r="CJ4" s="81"/>
      <c r="CK4" s="81"/>
      <c r="CL4" s="81"/>
      <c r="CM4" s="81"/>
      <c r="CN4" s="81">
        <f>CN5</f>
        <v>46132</v>
      </c>
      <c r="CO4" s="81"/>
      <c r="CP4" s="81"/>
      <c r="CQ4" s="81"/>
      <c r="CR4" s="81"/>
      <c r="CS4" s="81"/>
      <c r="CT4" s="81"/>
      <c r="CU4" s="81">
        <f>CU5</f>
        <v>46139</v>
      </c>
      <c r="CV4" s="81"/>
      <c r="CW4" s="81"/>
      <c r="CX4" s="81"/>
      <c r="CY4" s="81"/>
      <c r="CZ4" s="81"/>
      <c r="DA4" s="81"/>
      <c r="DB4" s="81">
        <f>DB5</f>
        <v>46146</v>
      </c>
      <c r="DC4" s="81"/>
      <c r="DD4" s="81"/>
      <c r="DE4" s="81"/>
      <c r="DF4" s="81"/>
      <c r="DG4" s="81"/>
      <c r="DH4" s="81"/>
      <c r="DI4" s="81">
        <f>DI5</f>
        <v>46153</v>
      </c>
      <c r="DJ4" s="81"/>
      <c r="DK4" s="81"/>
      <c r="DL4" s="81"/>
      <c r="DM4" s="81"/>
      <c r="DN4" s="81"/>
      <c r="DO4" s="84"/>
    </row>
    <row r="5" spans="1:119" s="19" customFormat="1" ht="15" customHeight="1" x14ac:dyDescent="0.25">
      <c r="A5" s="69"/>
      <c r="B5" s="70" t="s">
        <v>4</v>
      </c>
      <c r="C5" s="72" t="s">
        <v>29</v>
      </c>
      <c r="D5" s="72" t="s">
        <v>2</v>
      </c>
      <c r="E5" s="72" t="s">
        <v>3</v>
      </c>
      <c r="H5" s="21">
        <f>Project_Start-WEEKDAY(Project_Start,1)+2+7*(Display_Week-1)</f>
        <v>46048</v>
      </c>
      <c r="I5" s="21">
        <f>H5+1</f>
        <v>46049</v>
      </c>
      <c r="J5" s="21">
        <f t="shared" ref="J5:AW5" si="0">I5+1</f>
        <v>46050</v>
      </c>
      <c r="K5" s="21">
        <f t="shared" si="0"/>
        <v>46051</v>
      </c>
      <c r="L5" s="21">
        <f t="shared" si="0"/>
        <v>46052</v>
      </c>
      <c r="M5" s="21">
        <f t="shared" si="0"/>
        <v>46053</v>
      </c>
      <c r="N5" s="22">
        <f t="shared" si="0"/>
        <v>46054</v>
      </c>
      <c r="O5" s="23">
        <f>N5+1</f>
        <v>46055</v>
      </c>
      <c r="P5" s="21">
        <f>O5+1</f>
        <v>46056</v>
      </c>
      <c r="Q5" s="21">
        <f t="shared" si="0"/>
        <v>46057</v>
      </c>
      <c r="R5" s="21">
        <f t="shared" si="0"/>
        <v>46058</v>
      </c>
      <c r="S5" s="21">
        <f t="shared" si="0"/>
        <v>46059</v>
      </c>
      <c r="T5" s="21">
        <f t="shared" si="0"/>
        <v>46060</v>
      </c>
      <c r="U5" s="22">
        <f t="shared" si="0"/>
        <v>46061</v>
      </c>
      <c r="V5" s="23">
        <f>U5+1</f>
        <v>46062</v>
      </c>
      <c r="W5" s="21">
        <f>V5+1</f>
        <v>46063</v>
      </c>
      <c r="X5" s="21">
        <f t="shared" si="0"/>
        <v>46064</v>
      </c>
      <c r="Y5" s="21">
        <f t="shared" si="0"/>
        <v>46065</v>
      </c>
      <c r="Z5" s="21">
        <f t="shared" si="0"/>
        <v>46066</v>
      </c>
      <c r="AA5" s="21">
        <f t="shared" si="0"/>
        <v>46067</v>
      </c>
      <c r="AB5" s="22">
        <f t="shared" si="0"/>
        <v>46068</v>
      </c>
      <c r="AC5" s="23">
        <f>AB5+1</f>
        <v>46069</v>
      </c>
      <c r="AD5" s="21">
        <f>AC5+1</f>
        <v>46070</v>
      </c>
      <c r="AE5" s="21">
        <f t="shared" si="0"/>
        <v>46071</v>
      </c>
      <c r="AF5" s="21">
        <f t="shared" si="0"/>
        <v>46072</v>
      </c>
      <c r="AG5" s="21">
        <f t="shared" si="0"/>
        <v>46073</v>
      </c>
      <c r="AH5" s="21">
        <f t="shared" si="0"/>
        <v>46074</v>
      </c>
      <c r="AI5" s="22">
        <f t="shared" si="0"/>
        <v>46075</v>
      </c>
      <c r="AJ5" s="23">
        <f>AI5+1</f>
        <v>46076</v>
      </c>
      <c r="AK5" s="21">
        <f>AJ5+1</f>
        <v>46077</v>
      </c>
      <c r="AL5" s="21">
        <f t="shared" si="0"/>
        <v>46078</v>
      </c>
      <c r="AM5" s="21">
        <f t="shared" si="0"/>
        <v>46079</v>
      </c>
      <c r="AN5" s="21">
        <f t="shared" si="0"/>
        <v>46080</v>
      </c>
      <c r="AO5" s="21">
        <f t="shared" si="0"/>
        <v>46081</v>
      </c>
      <c r="AP5" s="22">
        <f t="shared" si="0"/>
        <v>46082</v>
      </c>
      <c r="AQ5" s="23">
        <f>AP5+1</f>
        <v>46083</v>
      </c>
      <c r="AR5" s="21">
        <f>AQ5+1</f>
        <v>46084</v>
      </c>
      <c r="AS5" s="21">
        <f t="shared" si="0"/>
        <v>46085</v>
      </c>
      <c r="AT5" s="21">
        <f t="shared" si="0"/>
        <v>46086</v>
      </c>
      <c r="AU5" s="21">
        <f t="shared" si="0"/>
        <v>46087</v>
      </c>
      <c r="AV5" s="21">
        <f t="shared" si="0"/>
        <v>46088</v>
      </c>
      <c r="AW5" s="22">
        <f t="shared" si="0"/>
        <v>46089</v>
      </c>
      <c r="AX5" s="23">
        <f>AW5+1</f>
        <v>46090</v>
      </c>
      <c r="AY5" s="21">
        <f>AX5+1</f>
        <v>46091</v>
      </c>
      <c r="AZ5" s="21">
        <f t="shared" ref="AZ5:BD5" si="1">AY5+1</f>
        <v>46092</v>
      </c>
      <c r="BA5" s="21">
        <f t="shared" si="1"/>
        <v>46093</v>
      </c>
      <c r="BB5" s="21">
        <f t="shared" si="1"/>
        <v>46094</v>
      </c>
      <c r="BC5" s="21">
        <f t="shared" si="1"/>
        <v>46095</v>
      </c>
      <c r="BD5" s="22">
        <f t="shared" si="1"/>
        <v>46096</v>
      </c>
      <c r="BE5" s="23">
        <f>BD5+1</f>
        <v>46097</v>
      </c>
      <c r="BF5" s="21">
        <f>BE5+1</f>
        <v>46098</v>
      </c>
      <c r="BG5" s="21">
        <f t="shared" ref="BG5:BK5" si="2">BF5+1</f>
        <v>46099</v>
      </c>
      <c r="BH5" s="21">
        <f t="shared" si="2"/>
        <v>46100</v>
      </c>
      <c r="BI5" s="21">
        <f t="shared" si="2"/>
        <v>46101</v>
      </c>
      <c r="BJ5" s="21">
        <f t="shared" si="2"/>
        <v>46102</v>
      </c>
      <c r="BK5" s="53">
        <f t="shared" si="2"/>
        <v>46103</v>
      </c>
      <c r="BL5" s="21">
        <f>BK5+1</f>
        <v>46104</v>
      </c>
      <c r="BM5" s="21">
        <f>BL5+1</f>
        <v>46105</v>
      </c>
      <c r="BN5" s="21">
        <f t="shared" ref="BN5" si="3">BM5+1</f>
        <v>46106</v>
      </c>
      <c r="BO5" s="21">
        <f t="shared" ref="BO5" si="4">BN5+1</f>
        <v>46107</v>
      </c>
      <c r="BP5" s="21">
        <f t="shared" ref="BP5" si="5">BO5+1</f>
        <v>46108</v>
      </c>
      <c r="BQ5" s="21">
        <f t="shared" ref="BQ5" si="6">BP5+1</f>
        <v>46109</v>
      </c>
      <c r="BR5" s="22">
        <f t="shared" ref="BR5" si="7">BQ5+1</f>
        <v>46110</v>
      </c>
      <c r="BS5" s="23">
        <f>BR5+1</f>
        <v>46111</v>
      </c>
      <c r="BT5" s="21">
        <f>BS5+1</f>
        <v>46112</v>
      </c>
      <c r="BU5" s="21">
        <f t="shared" ref="BU5" si="8">BT5+1</f>
        <v>46113</v>
      </c>
      <c r="BV5" s="21">
        <f t="shared" ref="BV5" si="9">BU5+1</f>
        <v>46114</v>
      </c>
      <c r="BW5" s="21">
        <f t="shared" ref="BW5" si="10">BV5+1</f>
        <v>46115</v>
      </c>
      <c r="BX5" s="21">
        <f t="shared" ref="BX5" si="11">BW5+1</f>
        <v>46116</v>
      </c>
      <c r="BY5" s="22">
        <f t="shared" ref="BY5" si="12">BX5+1</f>
        <v>46117</v>
      </c>
      <c r="BZ5" s="23">
        <f>BY5+1</f>
        <v>46118</v>
      </c>
      <c r="CA5" s="21">
        <f>BZ5+1</f>
        <v>46119</v>
      </c>
      <c r="CB5" s="21">
        <f t="shared" ref="CB5" si="13">CA5+1</f>
        <v>46120</v>
      </c>
      <c r="CC5" s="21">
        <f t="shared" ref="CC5" si="14">CB5+1</f>
        <v>46121</v>
      </c>
      <c r="CD5" s="21">
        <f t="shared" ref="CD5" si="15">CC5+1</f>
        <v>46122</v>
      </c>
      <c r="CE5" s="21">
        <f t="shared" ref="CE5" si="16">CD5+1</f>
        <v>46123</v>
      </c>
      <c r="CF5" s="22">
        <f t="shared" ref="CF5" si="17">CE5+1</f>
        <v>46124</v>
      </c>
      <c r="CG5" s="23">
        <f>CF5+1</f>
        <v>46125</v>
      </c>
      <c r="CH5" s="21">
        <f>CG5+1</f>
        <v>46126</v>
      </c>
      <c r="CI5" s="21">
        <f t="shared" ref="CI5" si="18">CH5+1</f>
        <v>46127</v>
      </c>
      <c r="CJ5" s="21">
        <f t="shared" ref="CJ5" si="19">CI5+1</f>
        <v>46128</v>
      </c>
      <c r="CK5" s="21">
        <f t="shared" ref="CK5" si="20">CJ5+1</f>
        <v>46129</v>
      </c>
      <c r="CL5" s="21">
        <f t="shared" ref="CL5" si="21">CK5+1</f>
        <v>46130</v>
      </c>
      <c r="CM5" s="22">
        <f t="shared" ref="CM5" si="22">CL5+1</f>
        <v>46131</v>
      </c>
      <c r="CN5" s="23">
        <f>CM5+1</f>
        <v>46132</v>
      </c>
      <c r="CO5" s="21">
        <f>CN5+1</f>
        <v>46133</v>
      </c>
      <c r="CP5" s="21">
        <f t="shared" ref="CP5" si="23">CO5+1</f>
        <v>46134</v>
      </c>
      <c r="CQ5" s="21">
        <f t="shared" ref="CQ5" si="24">CP5+1</f>
        <v>46135</v>
      </c>
      <c r="CR5" s="21">
        <f t="shared" ref="CR5" si="25">CQ5+1</f>
        <v>46136</v>
      </c>
      <c r="CS5" s="21">
        <f t="shared" ref="CS5" si="26">CR5+1</f>
        <v>46137</v>
      </c>
      <c r="CT5" s="22">
        <f t="shared" ref="CT5" si="27">CS5+1</f>
        <v>46138</v>
      </c>
      <c r="CU5" s="23">
        <f>CT5+1</f>
        <v>46139</v>
      </c>
      <c r="CV5" s="21">
        <f>CU5+1</f>
        <v>46140</v>
      </c>
      <c r="CW5" s="21">
        <f t="shared" ref="CW5" si="28">CV5+1</f>
        <v>46141</v>
      </c>
      <c r="CX5" s="21">
        <f t="shared" ref="CX5" si="29">CW5+1</f>
        <v>46142</v>
      </c>
      <c r="CY5" s="21">
        <f t="shared" ref="CY5" si="30">CX5+1</f>
        <v>46143</v>
      </c>
      <c r="CZ5" s="21">
        <f t="shared" ref="CZ5" si="31">CY5+1</f>
        <v>46144</v>
      </c>
      <c r="DA5" s="22">
        <f t="shared" ref="DA5" si="32">CZ5+1</f>
        <v>46145</v>
      </c>
      <c r="DB5" s="23">
        <f>DA5+1</f>
        <v>46146</v>
      </c>
      <c r="DC5" s="21">
        <f>DB5+1</f>
        <v>46147</v>
      </c>
      <c r="DD5" s="21">
        <f t="shared" ref="DD5" si="33">DC5+1</f>
        <v>46148</v>
      </c>
      <c r="DE5" s="21">
        <f t="shared" ref="DE5" si="34">DD5+1</f>
        <v>46149</v>
      </c>
      <c r="DF5" s="21">
        <f t="shared" ref="DF5" si="35">DE5+1</f>
        <v>46150</v>
      </c>
      <c r="DG5" s="21">
        <f t="shared" ref="DG5" si="36">DF5+1</f>
        <v>46151</v>
      </c>
      <c r="DH5" s="22">
        <f t="shared" ref="DH5" si="37">DG5+1</f>
        <v>46152</v>
      </c>
      <c r="DI5" s="23">
        <f>DH5+1</f>
        <v>46153</v>
      </c>
      <c r="DJ5" s="21">
        <f>DI5+1</f>
        <v>46154</v>
      </c>
      <c r="DK5" s="21">
        <f t="shared" ref="DK5" si="38">DJ5+1</f>
        <v>46155</v>
      </c>
      <c r="DL5" s="21">
        <f t="shared" ref="DL5" si="39">DK5+1</f>
        <v>46156</v>
      </c>
      <c r="DM5" s="21">
        <f t="shared" ref="DM5" si="40">DL5+1</f>
        <v>46157</v>
      </c>
      <c r="DN5" s="21">
        <f t="shared" ref="DN5" si="41">DM5+1</f>
        <v>46158</v>
      </c>
      <c r="DO5" s="53">
        <f t="shared" ref="DO5" si="42">DN5+1</f>
        <v>46159</v>
      </c>
    </row>
    <row r="6" spans="1:119" s="19" customFormat="1" ht="15" customHeight="1" thickBot="1" x14ac:dyDescent="0.3">
      <c r="A6" s="69"/>
      <c r="B6" s="71"/>
      <c r="C6" s="73"/>
      <c r="D6" s="74"/>
      <c r="E6" s="74"/>
      <c r="H6" s="24" t="str">
        <f t="shared" ref="H6:AM6" si="43">LEFT(TEXT(H5,"ddd"),1)</f>
        <v>M</v>
      </c>
      <c r="I6" s="25" t="str">
        <f t="shared" si="43"/>
        <v>T</v>
      </c>
      <c r="J6" s="25" t="str">
        <f t="shared" si="43"/>
        <v>W</v>
      </c>
      <c r="K6" s="25" t="str">
        <f t="shared" si="43"/>
        <v>T</v>
      </c>
      <c r="L6" s="25" t="str">
        <f t="shared" si="43"/>
        <v>F</v>
      </c>
      <c r="M6" s="25" t="str">
        <f t="shared" si="43"/>
        <v>S</v>
      </c>
      <c r="N6" s="25" t="str">
        <f t="shared" si="43"/>
        <v>S</v>
      </c>
      <c r="O6" s="25" t="str">
        <f t="shared" si="43"/>
        <v>M</v>
      </c>
      <c r="P6" s="25" t="str">
        <f t="shared" si="43"/>
        <v>T</v>
      </c>
      <c r="Q6" s="25" t="str">
        <f t="shared" si="43"/>
        <v>W</v>
      </c>
      <c r="R6" s="25" t="str">
        <f t="shared" si="43"/>
        <v>T</v>
      </c>
      <c r="S6" s="25" t="str">
        <f t="shared" si="43"/>
        <v>F</v>
      </c>
      <c r="T6" s="25" t="str">
        <f t="shared" si="43"/>
        <v>S</v>
      </c>
      <c r="U6" s="25" t="str">
        <f t="shared" si="43"/>
        <v>S</v>
      </c>
      <c r="V6" s="25" t="str">
        <f t="shared" si="43"/>
        <v>M</v>
      </c>
      <c r="W6" s="25" t="str">
        <f t="shared" si="43"/>
        <v>T</v>
      </c>
      <c r="X6" s="25" t="str">
        <f t="shared" si="43"/>
        <v>W</v>
      </c>
      <c r="Y6" s="25" t="str">
        <f t="shared" si="43"/>
        <v>T</v>
      </c>
      <c r="Z6" s="25" t="str">
        <f t="shared" si="43"/>
        <v>F</v>
      </c>
      <c r="AA6" s="25" t="str">
        <f t="shared" si="43"/>
        <v>S</v>
      </c>
      <c r="AB6" s="25" t="str">
        <f t="shared" si="43"/>
        <v>S</v>
      </c>
      <c r="AC6" s="25" t="str">
        <f t="shared" si="43"/>
        <v>M</v>
      </c>
      <c r="AD6" s="25" t="str">
        <f t="shared" si="43"/>
        <v>T</v>
      </c>
      <c r="AE6" s="25" t="str">
        <f t="shared" si="43"/>
        <v>W</v>
      </c>
      <c r="AF6" s="25" t="str">
        <f t="shared" si="43"/>
        <v>T</v>
      </c>
      <c r="AG6" s="25" t="str">
        <f t="shared" si="43"/>
        <v>F</v>
      </c>
      <c r="AH6" s="25" t="str">
        <f t="shared" si="43"/>
        <v>S</v>
      </c>
      <c r="AI6" s="25" t="str">
        <f t="shared" si="43"/>
        <v>S</v>
      </c>
      <c r="AJ6" s="25" t="str">
        <f t="shared" si="43"/>
        <v>M</v>
      </c>
      <c r="AK6" s="25" t="str">
        <f t="shared" si="43"/>
        <v>T</v>
      </c>
      <c r="AL6" s="25" t="str">
        <f t="shared" si="43"/>
        <v>W</v>
      </c>
      <c r="AM6" s="25" t="str">
        <f t="shared" si="43"/>
        <v>T</v>
      </c>
      <c r="AN6" s="25" t="str">
        <f t="shared" ref="AN6:CQ6" si="44">LEFT(TEXT(AN5,"ddd"),1)</f>
        <v>F</v>
      </c>
      <c r="AO6" s="25" t="str">
        <f t="shared" si="44"/>
        <v>S</v>
      </c>
      <c r="AP6" s="25" t="str">
        <f t="shared" si="44"/>
        <v>S</v>
      </c>
      <c r="AQ6" s="25" t="str">
        <f t="shared" si="44"/>
        <v>M</v>
      </c>
      <c r="AR6" s="25" t="str">
        <f t="shared" si="44"/>
        <v>T</v>
      </c>
      <c r="AS6" s="25" t="str">
        <f t="shared" si="44"/>
        <v>W</v>
      </c>
      <c r="AT6" s="25" t="str">
        <f t="shared" si="44"/>
        <v>T</v>
      </c>
      <c r="AU6" s="25" t="str">
        <f t="shared" si="44"/>
        <v>F</v>
      </c>
      <c r="AV6" s="25" t="str">
        <f t="shared" si="44"/>
        <v>S</v>
      </c>
      <c r="AW6" s="25" t="str">
        <f t="shared" si="44"/>
        <v>S</v>
      </c>
      <c r="AX6" s="25" t="str">
        <f t="shared" si="44"/>
        <v>M</v>
      </c>
      <c r="AY6" s="25" t="str">
        <f t="shared" si="44"/>
        <v>T</v>
      </c>
      <c r="AZ6" s="25" t="str">
        <f t="shared" si="44"/>
        <v>W</v>
      </c>
      <c r="BA6" s="25" t="str">
        <f t="shared" si="44"/>
        <v>T</v>
      </c>
      <c r="BB6" s="25" t="str">
        <f t="shared" si="44"/>
        <v>F</v>
      </c>
      <c r="BC6" s="25" t="str">
        <f t="shared" si="44"/>
        <v>S</v>
      </c>
      <c r="BD6" s="25" t="str">
        <f t="shared" si="44"/>
        <v>S</v>
      </c>
      <c r="BE6" s="25" t="str">
        <f t="shared" si="44"/>
        <v>M</v>
      </c>
      <c r="BF6" s="25" t="str">
        <f t="shared" si="44"/>
        <v>T</v>
      </c>
      <c r="BG6" s="25" t="str">
        <f t="shared" si="44"/>
        <v>W</v>
      </c>
      <c r="BH6" s="25" t="str">
        <f t="shared" si="44"/>
        <v>T</v>
      </c>
      <c r="BI6" s="25" t="str">
        <f t="shared" si="44"/>
        <v>F</v>
      </c>
      <c r="BJ6" s="25" t="str">
        <f t="shared" si="44"/>
        <v>S</v>
      </c>
      <c r="BK6" s="54" t="str">
        <f t="shared" si="44"/>
        <v>S</v>
      </c>
      <c r="BL6" s="24" t="str">
        <f t="shared" si="44"/>
        <v>M</v>
      </c>
      <c r="BM6" s="25" t="str">
        <f t="shared" si="44"/>
        <v>T</v>
      </c>
      <c r="BN6" s="25" t="str">
        <f t="shared" si="44"/>
        <v>W</v>
      </c>
      <c r="BO6" s="25" t="str">
        <f t="shared" si="44"/>
        <v>T</v>
      </c>
      <c r="BP6" s="25" t="str">
        <f t="shared" si="44"/>
        <v>F</v>
      </c>
      <c r="BQ6" s="25" t="str">
        <f t="shared" si="44"/>
        <v>S</v>
      </c>
      <c r="BR6" s="25" t="str">
        <f t="shared" si="44"/>
        <v>S</v>
      </c>
      <c r="BS6" s="25" t="str">
        <f t="shared" si="44"/>
        <v>M</v>
      </c>
      <c r="BT6" s="25" t="str">
        <f t="shared" si="44"/>
        <v>T</v>
      </c>
      <c r="BU6" s="25" t="str">
        <f t="shared" si="44"/>
        <v>W</v>
      </c>
      <c r="BV6" s="25" t="str">
        <f t="shared" si="44"/>
        <v>T</v>
      </c>
      <c r="BW6" s="25" t="str">
        <f t="shared" si="44"/>
        <v>F</v>
      </c>
      <c r="BX6" s="25" t="str">
        <f t="shared" si="44"/>
        <v>S</v>
      </c>
      <c r="BY6" s="25" t="str">
        <f t="shared" si="44"/>
        <v>S</v>
      </c>
      <c r="BZ6" s="25" t="str">
        <f t="shared" si="44"/>
        <v>M</v>
      </c>
      <c r="CA6" s="25" t="str">
        <f t="shared" si="44"/>
        <v>T</v>
      </c>
      <c r="CB6" s="25" t="str">
        <f t="shared" si="44"/>
        <v>W</v>
      </c>
      <c r="CC6" s="25" t="str">
        <f t="shared" si="44"/>
        <v>T</v>
      </c>
      <c r="CD6" s="25" t="str">
        <f t="shared" si="44"/>
        <v>F</v>
      </c>
      <c r="CE6" s="25" t="str">
        <f t="shared" si="44"/>
        <v>S</v>
      </c>
      <c r="CF6" s="25" t="str">
        <f t="shared" si="44"/>
        <v>S</v>
      </c>
      <c r="CG6" s="25" t="str">
        <f t="shared" si="44"/>
        <v>M</v>
      </c>
      <c r="CH6" s="25" t="str">
        <f t="shared" si="44"/>
        <v>T</v>
      </c>
      <c r="CI6" s="25" t="str">
        <f t="shared" si="44"/>
        <v>W</v>
      </c>
      <c r="CJ6" s="25" t="str">
        <f t="shared" si="44"/>
        <v>T</v>
      </c>
      <c r="CK6" s="25" t="str">
        <f t="shared" si="44"/>
        <v>F</v>
      </c>
      <c r="CL6" s="25" t="str">
        <f t="shared" si="44"/>
        <v>S</v>
      </c>
      <c r="CM6" s="25" t="str">
        <f t="shared" si="44"/>
        <v>S</v>
      </c>
      <c r="CN6" s="25" t="str">
        <f t="shared" si="44"/>
        <v>M</v>
      </c>
      <c r="CO6" s="25" t="str">
        <f t="shared" si="44"/>
        <v>T</v>
      </c>
      <c r="CP6" s="25" t="str">
        <f t="shared" si="44"/>
        <v>W</v>
      </c>
      <c r="CQ6" s="25" t="str">
        <f t="shared" si="44"/>
        <v>T</v>
      </c>
      <c r="CR6" s="25" t="str">
        <f t="shared" ref="CR6:DO6" si="45">LEFT(TEXT(CR5,"ddd"),1)</f>
        <v>F</v>
      </c>
      <c r="CS6" s="25" t="str">
        <f t="shared" si="45"/>
        <v>S</v>
      </c>
      <c r="CT6" s="25" t="str">
        <f t="shared" si="45"/>
        <v>S</v>
      </c>
      <c r="CU6" s="25" t="str">
        <f t="shared" si="45"/>
        <v>M</v>
      </c>
      <c r="CV6" s="25" t="str">
        <f t="shared" si="45"/>
        <v>T</v>
      </c>
      <c r="CW6" s="25" t="str">
        <f t="shared" si="45"/>
        <v>W</v>
      </c>
      <c r="CX6" s="25" t="str">
        <f t="shared" si="45"/>
        <v>T</v>
      </c>
      <c r="CY6" s="25" t="str">
        <f t="shared" si="45"/>
        <v>F</v>
      </c>
      <c r="CZ6" s="25" t="str">
        <f t="shared" si="45"/>
        <v>S</v>
      </c>
      <c r="DA6" s="25" t="str">
        <f t="shared" si="45"/>
        <v>S</v>
      </c>
      <c r="DB6" s="25" t="str">
        <f t="shared" si="45"/>
        <v>M</v>
      </c>
      <c r="DC6" s="25" t="str">
        <f t="shared" si="45"/>
        <v>T</v>
      </c>
      <c r="DD6" s="25" t="str">
        <f t="shared" si="45"/>
        <v>W</v>
      </c>
      <c r="DE6" s="25" t="str">
        <f t="shared" si="45"/>
        <v>T</v>
      </c>
      <c r="DF6" s="25" t="str">
        <f t="shared" si="45"/>
        <v>F</v>
      </c>
      <c r="DG6" s="25" t="str">
        <f t="shared" si="45"/>
        <v>S</v>
      </c>
      <c r="DH6" s="25" t="str">
        <f t="shared" si="45"/>
        <v>S</v>
      </c>
      <c r="DI6" s="25" t="str">
        <f t="shared" si="45"/>
        <v>M</v>
      </c>
      <c r="DJ6" s="25" t="str">
        <f t="shared" si="45"/>
        <v>T</v>
      </c>
      <c r="DK6" s="25" t="str">
        <f t="shared" si="45"/>
        <v>W</v>
      </c>
      <c r="DL6" s="25" t="str">
        <f t="shared" si="45"/>
        <v>T</v>
      </c>
      <c r="DM6" s="25" t="str">
        <f t="shared" si="45"/>
        <v>F</v>
      </c>
      <c r="DN6" s="25" t="str">
        <f t="shared" si="45"/>
        <v>S</v>
      </c>
      <c r="DO6" s="54" t="str">
        <f t="shared" si="45"/>
        <v>S</v>
      </c>
    </row>
    <row r="7" spans="1:119" s="19" customFormat="1" ht="30" hidden="1" customHeight="1" thickBot="1" x14ac:dyDescent="0.3">
      <c r="A7" s="12" t="s">
        <v>18</v>
      </c>
      <c r="B7" s="26"/>
      <c r="C7" s="60"/>
      <c r="D7" s="26"/>
      <c r="E7" s="26"/>
      <c r="G7" s="19" t="str">
        <f>IF(OR(ISBLANK(task_start),ISBLANK(task_end)),"",task_end-task_start+1)</f>
        <v/>
      </c>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DO7" s="55"/>
    </row>
    <row r="8" spans="1:119" s="29" customFormat="1" ht="30" customHeight="1" thickBot="1" x14ac:dyDescent="0.3">
      <c r="A8" s="13"/>
      <c r="B8" s="30" t="s">
        <v>24</v>
      </c>
      <c r="C8" s="61">
        <f>E8-D8</f>
        <v>5</v>
      </c>
      <c r="D8" s="31">
        <f>Project_Start</f>
        <v>46050</v>
      </c>
      <c r="E8" s="31">
        <v>46055</v>
      </c>
      <c r="F8" s="15"/>
      <c r="G8" s="4">
        <f t="shared" ref="G8:G14" si="46">IF(OR(ISBLANK(task_start),ISBLANK(task_end)),"",task_end-task_start+1)</f>
        <v>6</v>
      </c>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56"/>
    </row>
    <row r="9" spans="1:119" s="29" customFormat="1" ht="30" customHeight="1" thickBot="1" x14ac:dyDescent="0.3">
      <c r="A9" s="13"/>
      <c r="B9" s="33" t="s">
        <v>25</v>
      </c>
      <c r="C9" s="62">
        <f>E9-D9</f>
        <v>14</v>
      </c>
      <c r="D9" s="34">
        <v>46062</v>
      </c>
      <c r="E9" s="34">
        <v>46076</v>
      </c>
      <c r="F9" s="15"/>
      <c r="G9" s="4">
        <f t="shared" si="46"/>
        <v>15</v>
      </c>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56"/>
    </row>
    <row r="10" spans="1:119" s="29" customFormat="1" ht="30" customHeight="1" thickBot="1" x14ac:dyDescent="0.3">
      <c r="A10" s="12"/>
      <c r="B10" s="35" t="s">
        <v>26</v>
      </c>
      <c r="C10" s="63">
        <f>E10-D10</f>
        <v>28</v>
      </c>
      <c r="D10" s="36">
        <v>46078</v>
      </c>
      <c r="E10" s="36">
        <v>46106</v>
      </c>
      <c r="F10" s="15"/>
      <c r="G10" s="4">
        <f t="shared" si="46"/>
        <v>29</v>
      </c>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56"/>
    </row>
    <row r="11" spans="1:119" s="29" customFormat="1" ht="30" customHeight="1" thickBot="1" x14ac:dyDescent="0.3">
      <c r="A11" s="12"/>
      <c r="B11" s="37" t="s">
        <v>27</v>
      </c>
      <c r="C11" s="64">
        <f>E11-D11</f>
        <v>25</v>
      </c>
      <c r="D11" s="38">
        <v>46111</v>
      </c>
      <c r="E11" s="38">
        <v>46136</v>
      </c>
      <c r="F11" s="15"/>
      <c r="G11" s="4">
        <f t="shared" si="46"/>
        <v>26</v>
      </c>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56"/>
    </row>
    <row r="12" spans="1:119" s="29" customFormat="1" ht="30" customHeight="1" thickBot="1" x14ac:dyDescent="0.3">
      <c r="A12" s="13"/>
      <c r="B12" s="58" t="s">
        <v>28</v>
      </c>
      <c r="C12" s="65">
        <f>E12-D12</f>
        <v>19</v>
      </c>
      <c r="D12" s="59">
        <v>46127</v>
      </c>
      <c r="E12" s="59">
        <v>46146</v>
      </c>
      <c r="F12" s="15"/>
      <c r="G12" s="4">
        <f t="shared" si="46"/>
        <v>20</v>
      </c>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56"/>
    </row>
    <row r="13" spans="1:119" s="29" customFormat="1" ht="30" customHeight="1" thickBot="1" x14ac:dyDescent="0.3">
      <c r="A13" s="12"/>
      <c r="B13" s="39"/>
      <c r="C13" s="39"/>
      <c r="D13" s="40"/>
      <c r="E13" s="40"/>
      <c r="F13" s="15"/>
      <c r="G13" s="4" t="str">
        <f t="shared" si="46"/>
        <v/>
      </c>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row>
    <row r="14" spans="1:119" s="29" customFormat="1" ht="30" customHeight="1" thickBot="1" x14ac:dyDescent="0.3">
      <c r="A14" s="13"/>
      <c r="B14" s="41" t="s">
        <v>0</v>
      </c>
      <c r="C14" s="41"/>
      <c r="D14" s="42"/>
      <c r="E14" s="43"/>
      <c r="F14" s="15"/>
      <c r="G14" s="5" t="str">
        <f t="shared" si="46"/>
        <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row>
    <row r="15" spans="1:119" ht="30" customHeight="1" x14ac:dyDescent="0.25">
      <c r="F15" s="3"/>
    </row>
    <row r="16" spans="1:119" ht="30" customHeight="1" x14ac:dyDescent="0.25">
      <c r="E16" s="14"/>
    </row>
  </sheetData>
  <mergeCells count="26">
    <mergeCell ref="CU4:DA4"/>
    <mergeCell ref="DB4:DH4"/>
    <mergeCell ref="DI4:DO4"/>
    <mergeCell ref="BL4:BR4"/>
    <mergeCell ref="BS4:BY4"/>
    <mergeCell ref="BZ4:CF4"/>
    <mergeCell ref="CG4:CM4"/>
    <mergeCell ref="CN4:CT4"/>
    <mergeCell ref="BE4:BK4"/>
    <mergeCell ref="H4:N4"/>
    <mergeCell ref="O4:U4"/>
    <mergeCell ref="V4:AB4"/>
    <mergeCell ref="AC4:AI4"/>
    <mergeCell ref="AJ4:AP4"/>
    <mergeCell ref="AQ4:AW4"/>
    <mergeCell ref="AX4:BD4"/>
    <mergeCell ref="P2:Y2"/>
    <mergeCell ref="P1:Y1"/>
    <mergeCell ref="H1:N1"/>
    <mergeCell ref="H2:N2"/>
    <mergeCell ref="B1:E1"/>
    <mergeCell ref="A5:A6"/>
    <mergeCell ref="B5:B6"/>
    <mergeCell ref="C5:C6"/>
    <mergeCell ref="D5:D6"/>
    <mergeCell ref="E5:E6"/>
  </mergeCells>
  <conditionalFormatting sqref="H8:EO8">
    <cfRule type="expression" dxfId="10" priority="8">
      <formula>AND(task_start&lt;=H$5,ROUNDDOWN((task_end-task_start+1)*task_progress,0)+task_start-1&gt;=H$5)</formula>
    </cfRule>
    <cfRule type="expression" dxfId="9" priority="9" stopIfTrue="1">
      <formula>AND(task_end&gt;=H$5,task_start&lt;I$5)</formula>
    </cfRule>
  </conditionalFormatting>
  <conditionalFormatting sqref="H9:EO9">
    <cfRule type="expression" dxfId="8" priority="6">
      <formula>AND(task_start&lt;=H$5,ROUNDDOWN((task_end-task_start+1)*task_progress,0)+task_start-1&gt;=H$5)</formula>
    </cfRule>
    <cfRule type="expression" dxfId="7" priority="7" stopIfTrue="1">
      <formula>AND(task_end&gt;=H$5,task_start&lt;I$5)</formula>
    </cfRule>
  </conditionalFormatting>
  <conditionalFormatting sqref="H10:EO10">
    <cfRule type="expression" dxfId="6" priority="4">
      <formula>AND(task_start&lt;=H$5,ROUNDDOWN((task_end-task_start+1)*task_progress,0)+task_start-1&gt;=H$5)</formula>
    </cfRule>
    <cfRule type="expression" dxfId="5" priority="5" stopIfTrue="1">
      <formula>AND(task_end&gt;=H$5,task_start&lt;I$5)</formula>
    </cfRule>
  </conditionalFormatting>
  <conditionalFormatting sqref="H11:EO11">
    <cfRule type="expression" dxfId="4" priority="38">
      <formula>AND(task_start&lt;=H$5,ROUNDDOWN((task_end-task_start+1)*task_progress,0)+task_start-1&gt;=H$5)</formula>
    </cfRule>
    <cfRule type="expression" dxfId="3" priority="39" stopIfTrue="1">
      <formula>AND(task_end&gt;=H$5,task_start&lt;I$5)</formula>
    </cfRule>
  </conditionalFormatting>
  <conditionalFormatting sqref="H12:EO12 BL4:DO6 H4:BK11 BL8:EO11">
    <cfRule type="expression" dxfId="2" priority="3">
      <formula>AND(TODAY()&gt;=H$5, TODAY()&lt;I$5)</formula>
    </cfRule>
  </conditionalFormatting>
  <conditionalFormatting sqref="H12:EO12">
    <cfRule type="expression" dxfId="1" priority="1">
      <formula>AND(task_start&lt;=H$5,ROUNDDOWN((task_end-task_start+1)*task_progress,0)+task_start-1&gt;=H$5)</formula>
    </cfRule>
    <cfRule type="expression" dxfId="0" priority="2" stopIfTrue="1">
      <formula>AND(task_end&gt;=H$5,task_start&lt;I$5)</formula>
    </cfRule>
  </conditionalFormatting>
  <dataValidations count="8">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8 A12" xr:uid="{D870A2F6-6B07-4F5A-A81D-4BCCFADF8796}"/>
    <dataValidation allowBlank="1" showInputMessage="1" showErrorMessage="1" prompt="This row marks the end of the Project Schedule. DO NOT enter anything in this row. _x000a_Insert new rows ABOVE this one to continue building out your Project Schedule." sqref="A14"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6" customWidth="1"/>
    <col min="2" max="16384" width="9" style="1"/>
  </cols>
  <sheetData>
    <row r="1" spans="1:2" ht="46.5" customHeight="1" x14ac:dyDescent="0.25"/>
    <row r="2" spans="1:2" s="8" customFormat="1" ht="15.6" x14ac:dyDescent="0.25">
      <c r="A2" s="45" t="s">
        <v>7</v>
      </c>
      <c r="B2" s="7"/>
    </row>
    <row r="3" spans="1:2" s="10" customFormat="1" ht="27" customHeight="1" x14ac:dyDescent="0.25">
      <c r="A3" s="46"/>
      <c r="B3" s="11"/>
    </row>
    <row r="4" spans="1:2" s="9" customFormat="1" ht="30" x14ac:dyDescent="0.7">
      <c r="A4" s="47" t="s">
        <v>6</v>
      </c>
    </row>
    <row r="5" spans="1:2" ht="74.25" customHeight="1" x14ac:dyDescent="0.25">
      <c r="A5" s="48" t="s">
        <v>14</v>
      </c>
    </row>
    <row r="6" spans="1:2" ht="26.25" customHeight="1" x14ac:dyDescent="0.25">
      <c r="A6" s="47" t="s">
        <v>17</v>
      </c>
    </row>
    <row r="7" spans="1:2" s="6" customFormat="1" ht="205.05" customHeight="1" x14ac:dyDescent="0.25">
      <c r="A7" s="49" t="s">
        <v>16</v>
      </c>
    </row>
    <row r="8" spans="1:2" s="9" customFormat="1" ht="30" x14ac:dyDescent="0.7">
      <c r="A8" s="47" t="s">
        <v>8</v>
      </c>
    </row>
    <row r="9" spans="1:2" ht="41.4" x14ac:dyDescent="0.25">
      <c r="A9" s="48" t="s">
        <v>15</v>
      </c>
    </row>
    <row r="10" spans="1:2" s="6" customFormat="1" ht="28.05" customHeight="1" x14ac:dyDescent="0.25">
      <c r="A10" s="50" t="s">
        <v>13</v>
      </c>
    </row>
    <row r="11" spans="1:2" s="9" customFormat="1" ht="30" x14ac:dyDescent="0.7">
      <c r="A11" s="47" t="s">
        <v>5</v>
      </c>
    </row>
    <row r="12" spans="1:2" ht="27.6" x14ac:dyDescent="0.25">
      <c r="A12" s="48" t="s">
        <v>12</v>
      </c>
    </row>
    <row r="13" spans="1:2" s="6" customFormat="1" ht="28.05" customHeight="1" x14ac:dyDescent="0.25">
      <c r="A13" s="50" t="s">
        <v>1</v>
      </c>
    </row>
    <row r="14" spans="1:2" s="9" customFormat="1" ht="30" x14ac:dyDescent="0.7">
      <c r="A14" s="47" t="s">
        <v>9</v>
      </c>
    </row>
    <row r="15" spans="1:2" ht="75" customHeight="1" x14ac:dyDescent="0.25">
      <c r="A15" s="48" t="s">
        <v>10</v>
      </c>
    </row>
    <row r="16" spans="1:2" ht="69" x14ac:dyDescent="0.25">
      <c r="A16" s="48" t="s">
        <v>11</v>
      </c>
    </row>
    <row r="17" spans="1:1" x14ac:dyDescent="0.25">
      <c r="A17" s="51"/>
    </row>
    <row r="18" spans="1:1" x14ac:dyDescent="0.25">
      <c r="A18" s="51"/>
    </row>
    <row r="19" spans="1:1" x14ac:dyDescent="0.25">
      <c r="A19" s="51"/>
    </row>
    <row r="20" spans="1:1" x14ac:dyDescent="0.25">
      <c r="A20" s="51"/>
    </row>
    <row r="21" spans="1:1" x14ac:dyDescent="0.25">
      <c r="A21" s="51"/>
    </row>
    <row r="22" spans="1:1" x14ac:dyDescent="0.25">
      <c r="A22" s="51"/>
    </row>
    <row r="23" spans="1:1" x14ac:dyDescent="0.25">
      <c r="A23" s="51"/>
    </row>
    <row r="24" spans="1:1" x14ac:dyDescent="0.25">
      <c r="A24" s="5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 schedule</vt:lpstr>
      <vt:lpstr>About</vt:lpstr>
      <vt:lpstr>Display_Week</vt:lpstr>
      <vt:lpstr>'Project schedule'!Print_Titles</vt:lpstr>
      <vt:lpstr>Project_Start</vt:lpstr>
      <vt:lpstr>'Project schedule'!task_end</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Alec Snodgrass</dc:creator>
  <dc:description/>
  <cp:lastModifiedBy>Alec Snodgrass</cp:lastModifiedBy>
  <dcterms:created xsi:type="dcterms:W3CDTF">2022-03-11T22:41:12Z</dcterms:created>
  <dcterms:modified xsi:type="dcterms:W3CDTF">2026-02-23T21:03:04Z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